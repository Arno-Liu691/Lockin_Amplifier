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rno\Desktop\Submit\Lockin_Amplifier\"/>
    </mc:Choice>
  </mc:AlternateContent>
  <xr:revisionPtr revIDLastSave="0" documentId="13_ncr:1_{A470C9A0-BDB2-4969-8C8F-1088BF69F88A}" xr6:coauthVersionLast="47" xr6:coauthVersionMax="47" xr10:uidLastSave="{00000000-0000-0000-0000-000000000000}"/>
  <bookViews>
    <workbookView xWindow="-98" yWindow="-98" windowWidth="21795" windowHeight="13695" xr2:uid="{ECC45002-C37E-4C85-97F1-1B67043623D2}"/>
  </bookViews>
  <sheets>
    <sheet name="AD8429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3" i="1"/>
  <c r="E4" i="1"/>
  <c r="E5" i="1"/>
  <c r="E6" i="1"/>
  <c r="E7" i="1"/>
  <c r="E8" i="1"/>
  <c r="E9" i="1"/>
  <c r="E2" i="1"/>
</calcChain>
</file>

<file path=xl/sharedStrings.xml><?xml version="1.0" encoding="utf-8"?>
<sst xmlns="http://schemas.openxmlformats.org/spreadsheetml/2006/main" count="60" uniqueCount="50">
  <si>
    <t>Phase</t>
  </si>
  <si>
    <t>6.04 kΩ</t>
  </si>
  <si>
    <t>1.50 kΩ</t>
  </si>
  <si>
    <t>665 Ω</t>
  </si>
  <si>
    <t>316 Ω</t>
  </si>
  <si>
    <t>121 Ω</t>
  </si>
  <si>
    <t>60.4 Ω</t>
  </si>
  <si>
    <t>30.1 Ω</t>
  </si>
  <si>
    <t>50m</t>
    <phoneticPr fontId="2" type="noConversion"/>
  </si>
  <si>
    <t>20m</t>
    <phoneticPr fontId="2" type="noConversion"/>
  </si>
  <si>
    <t>10m</t>
    <phoneticPr fontId="2" type="noConversion"/>
  </si>
  <si>
    <t>5m</t>
    <phoneticPr fontId="2" type="noConversion"/>
  </si>
  <si>
    <t>2m</t>
    <phoneticPr fontId="2" type="noConversion"/>
  </si>
  <si>
    <t>1m</t>
    <phoneticPr fontId="2" type="noConversion"/>
  </si>
  <si>
    <t>2s</t>
    <phoneticPr fontId="2" type="noConversion"/>
  </si>
  <si>
    <t>70s</t>
    <phoneticPr fontId="2" type="noConversion"/>
  </si>
  <si>
    <t>240s</t>
    <phoneticPr fontId="2" type="noConversion"/>
  </si>
  <si>
    <t>10min</t>
    <phoneticPr fontId="2" type="noConversion"/>
  </si>
  <si>
    <t>20min</t>
    <phoneticPr fontId="2" type="noConversion"/>
  </si>
  <si>
    <t>110s</t>
    <phoneticPr fontId="2" type="noConversion"/>
  </si>
  <si>
    <t>27s</t>
    <phoneticPr fontId="2" type="noConversion"/>
  </si>
  <si>
    <t>5s</t>
    <phoneticPr fontId="2" type="noConversion"/>
  </si>
  <si>
    <t>3s</t>
    <phoneticPr fontId="2" type="noConversion"/>
  </si>
  <si>
    <t>1s</t>
    <phoneticPr fontId="2" type="noConversion"/>
  </si>
  <si>
    <t>Vout(Vpp/mV)</t>
    <phoneticPr fontId="2" type="noConversion"/>
  </si>
  <si>
    <t>Vin(Vpp/mV)</t>
    <phoneticPr fontId="2" type="noConversion"/>
  </si>
  <si>
    <t>(R_G)（1% standard value）</t>
    <phoneticPr fontId="2" type="noConversion"/>
  </si>
  <si>
    <t>Datasheet Gain (AD8429)</t>
    <phoneticPr fontId="2" type="noConversion"/>
  </si>
  <si>
    <t>Measured Gain</t>
    <phoneticPr fontId="2" type="noConversion"/>
  </si>
  <si>
    <t>BW/Hz</t>
    <phoneticPr fontId="2" type="noConversion"/>
  </si>
  <si>
    <t>11s</t>
    <phoneticPr fontId="2" type="noConversion"/>
  </si>
  <si>
    <t>95,84</t>
    <phoneticPr fontId="2" type="noConversion"/>
  </si>
  <si>
    <t>12.1 Ω</t>
    <phoneticPr fontId="2" type="noConversion"/>
  </si>
  <si>
    <t>6.04Ω</t>
    <phoneticPr fontId="2" type="noConversion"/>
  </si>
  <si>
    <t>settling time to 99% final value</t>
    <phoneticPr fontId="2" type="noConversion"/>
  </si>
  <si>
    <t>settling time to 95% final value</t>
    <phoneticPr fontId="2" type="noConversion"/>
  </si>
  <si>
    <t>12s</t>
    <phoneticPr fontId="2" type="noConversion"/>
  </si>
  <si>
    <t>30s</t>
    <phoneticPr fontId="2" type="noConversion"/>
  </si>
  <si>
    <t>47s</t>
    <phoneticPr fontId="2" type="noConversion"/>
  </si>
  <si>
    <t>102s</t>
    <phoneticPr fontId="2" type="noConversion"/>
  </si>
  <si>
    <t>267s</t>
    <phoneticPr fontId="2" type="noConversion"/>
  </si>
  <si>
    <t>5min</t>
    <phoneticPr fontId="2" type="noConversion"/>
  </si>
  <si>
    <t>Reference frequency/HZ</t>
    <phoneticPr fontId="2" type="noConversion"/>
  </si>
  <si>
    <t>Vout/V</t>
    <phoneticPr fontId="2" type="noConversion"/>
  </si>
  <si>
    <t>Vdac/V</t>
    <phoneticPr fontId="2" type="noConversion"/>
  </si>
  <si>
    <t>Calibration after adding constant time delay -&gt; find linear calibration line:</t>
    <phoneticPr fontId="2" type="noConversion"/>
  </si>
  <si>
    <t>Ref frequency/HZ</t>
  </si>
  <si>
    <t>Vout</t>
  </si>
  <si>
    <t>By observating settling time at 1kHz:</t>
    <phoneticPr fontId="2" type="noConversion"/>
  </si>
  <si>
    <t>Raw data when loop-back: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</si>
</sst>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right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0" fillId="2" borderId="0" xfId="0" applyFill="1"/>
    <xf numFmtId="0" fontId="3" fillId="0" borderId="0" xfId="0" applyFont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E39F4-35A7-4743-9BCB-196EE50C4748}">
  <dimension ref="A1:R153"/>
  <sheetViews>
    <sheetView tabSelected="1" topLeftCell="A6" workbookViewId="0">
      <selection activeCell="I20" sqref="I20"/>
    </sheetView>
  </sheetViews>
  <sheetFormatPr defaultColWidth="8.73046875" defaultRowHeight="13.9" x14ac:dyDescent="0.4"/>
  <cols>
    <col min="1" max="1" width="10.6640625" customWidth="1"/>
    <col min="2" max="2" width="23.33203125" customWidth="1"/>
    <col min="3" max="3" width="13.19921875" customWidth="1"/>
    <col min="4" max="4" width="13.9296875" customWidth="1"/>
    <col min="5" max="5" width="12.265625" customWidth="1"/>
    <col min="6" max="6" width="17.33203125" customWidth="1"/>
    <col min="7" max="7" width="12.46484375" customWidth="1"/>
    <col min="9" max="9" width="14.86328125" customWidth="1"/>
    <col min="10" max="10" width="17.265625" customWidth="1"/>
    <col min="11" max="11" width="13.265625" customWidth="1"/>
    <col min="12" max="12" width="14.6640625" customWidth="1"/>
    <col min="13" max="13" width="15.46484375" customWidth="1"/>
    <col min="14" max="14" width="13.53125" customWidth="1"/>
    <col min="15" max="15" width="19.265625" customWidth="1"/>
    <col min="16" max="16" width="9.59765625" customWidth="1"/>
    <col min="18" max="18" width="14.33203125" customWidth="1"/>
  </cols>
  <sheetData>
    <row r="1" spans="1:18" ht="75.75" customHeight="1" x14ac:dyDescent="0.4">
      <c r="A1" s="2" t="s">
        <v>26</v>
      </c>
      <c r="B1" s="6" t="s">
        <v>27</v>
      </c>
      <c r="C1" t="s">
        <v>25</v>
      </c>
      <c r="D1" t="s">
        <v>24</v>
      </c>
      <c r="E1" s="5" t="s">
        <v>28</v>
      </c>
      <c r="F1" s="8" t="s">
        <v>49</v>
      </c>
      <c r="G1" t="s">
        <v>46</v>
      </c>
      <c r="H1" t="s">
        <v>47</v>
      </c>
      <c r="I1" t="s">
        <v>0</v>
      </c>
      <c r="J1" s="8" t="s">
        <v>45</v>
      </c>
      <c r="K1" s="8" t="s">
        <v>42</v>
      </c>
      <c r="L1" t="s">
        <v>0</v>
      </c>
      <c r="M1" t="s">
        <v>43</v>
      </c>
      <c r="N1" t="s">
        <v>44</v>
      </c>
      <c r="O1" s="8" t="s">
        <v>48</v>
      </c>
      <c r="P1" t="s">
        <v>29</v>
      </c>
      <c r="Q1" s="7" t="s">
        <v>34</v>
      </c>
      <c r="R1" s="8" t="s">
        <v>35</v>
      </c>
    </row>
    <row r="2" spans="1:18" x14ac:dyDescent="0.4">
      <c r="A2" s="1" t="s">
        <v>1</v>
      </c>
      <c r="B2" s="1">
        <v>1.9930000000000001</v>
      </c>
      <c r="C2">
        <v>100</v>
      </c>
      <c r="D2" s="1">
        <v>224</v>
      </c>
      <c r="E2">
        <f>D2/C2</f>
        <v>2.2400000000000002</v>
      </c>
      <c r="G2" s="9">
        <v>10</v>
      </c>
      <c r="H2">
        <v>0.5302</v>
      </c>
      <c r="I2">
        <v>40.130000000000003</v>
      </c>
      <c r="K2">
        <v>10</v>
      </c>
      <c r="L2">
        <v>49.82</v>
      </c>
      <c r="M2">
        <v>0.5302</v>
      </c>
      <c r="N2">
        <v>0.67200000000000004</v>
      </c>
      <c r="P2" s="3">
        <v>10</v>
      </c>
      <c r="Q2" t="s">
        <v>23</v>
      </c>
      <c r="R2" t="s">
        <v>23</v>
      </c>
    </row>
    <row r="3" spans="1:18" x14ac:dyDescent="0.4">
      <c r="A3" s="1" t="s">
        <v>2</v>
      </c>
      <c r="B3" s="1">
        <v>5</v>
      </c>
      <c r="C3">
        <v>100</v>
      </c>
      <c r="D3">
        <v>526</v>
      </c>
      <c r="E3">
        <f t="shared" ref="E3" si="0">D3/C3</f>
        <v>5.26</v>
      </c>
      <c r="G3">
        <v>20</v>
      </c>
      <c r="H3">
        <v>0.58940000000000003</v>
      </c>
      <c r="I3">
        <v>9.15</v>
      </c>
      <c r="K3">
        <v>20</v>
      </c>
      <c r="L3">
        <v>29.35</v>
      </c>
      <c r="M3">
        <v>0.58940000000000003</v>
      </c>
      <c r="P3" s="3">
        <v>5</v>
      </c>
      <c r="Q3" t="s">
        <v>23</v>
      </c>
      <c r="R3" t="s">
        <v>23</v>
      </c>
    </row>
    <row r="4" spans="1:18" x14ac:dyDescent="0.4">
      <c r="A4" s="1" t="s">
        <v>3</v>
      </c>
      <c r="B4" s="1">
        <v>10.023</v>
      </c>
      <c r="C4">
        <v>50</v>
      </c>
      <c r="D4">
        <v>528</v>
      </c>
      <c r="E4">
        <f t="shared" ref="E4:E10" si="1">D4/C4</f>
        <v>10.56</v>
      </c>
      <c r="G4">
        <v>30</v>
      </c>
      <c r="H4">
        <v>0.6</v>
      </c>
      <c r="I4">
        <v>-8.9600000000000009</v>
      </c>
      <c r="K4">
        <v>30</v>
      </c>
      <c r="L4">
        <v>22.39</v>
      </c>
      <c r="M4">
        <v>0.6</v>
      </c>
      <c r="P4" s="3">
        <v>2</v>
      </c>
      <c r="Q4" t="s">
        <v>23</v>
      </c>
      <c r="R4" t="s">
        <v>23</v>
      </c>
    </row>
    <row r="5" spans="1:18" x14ac:dyDescent="0.4">
      <c r="A5" s="1" t="s">
        <v>4</v>
      </c>
      <c r="B5" s="1">
        <v>19.986999999999998</v>
      </c>
      <c r="C5">
        <v>20</v>
      </c>
      <c r="D5">
        <v>424</v>
      </c>
      <c r="E5">
        <f t="shared" si="1"/>
        <v>21.2</v>
      </c>
      <c r="G5">
        <v>31</v>
      </c>
      <c r="H5">
        <v>0.60060000000000002</v>
      </c>
      <c r="I5">
        <v>-10.36</v>
      </c>
      <c r="K5">
        <v>31</v>
      </c>
      <c r="L5">
        <v>20.67</v>
      </c>
      <c r="M5">
        <v>0.60060000000000002</v>
      </c>
      <c r="P5" s="3">
        <v>1</v>
      </c>
      <c r="Q5" t="s">
        <v>14</v>
      </c>
      <c r="R5" t="s">
        <v>23</v>
      </c>
    </row>
    <row r="6" spans="1:18" x14ac:dyDescent="0.4">
      <c r="A6" s="1" t="s">
        <v>5</v>
      </c>
      <c r="B6" s="1">
        <v>50.587000000000003</v>
      </c>
      <c r="C6">
        <v>20</v>
      </c>
      <c r="D6">
        <v>1060</v>
      </c>
      <c r="E6">
        <f t="shared" si="1"/>
        <v>53</v>
      </c>
      <c r="G6">
        <v>40</v>
      </c>
      <c r="H6">
        <v>0.60399999999999998</v>
      </c>
      <c r="I6">
        <v>-23</v>
      </c>
      <c r="K6">
        <v>50</v>
      </c>
      <c r="L6">
        <v>14.77</v>
      </c>
      <c r="M6">
        <v>0.61270000000000002</v>
      </c>
      <c r="P6" s="3">
        <v>0.5</v>
      </c>
      <c r="Q6" t="s">
        <v>22</v>
      </c>
      <c r="R6" t="s">
        <v>23</v>
      </c>
    </row>
    <row r="7" spans="1:18" x14ac:dyDescent="0.4">
      <c r="A7" s="1" t="s">
        <v>6</v>
      </c>
      <c r="B7" s="1">
        <v>100.33799999999999</v>
      </c>
      <c r="C7">
        <v>20</v>
      </c>
      <c r="D7">
        <v>2160</v>
      </c>
      <c r="E7">
        <f t="shared" si="1"/>
        <v>108</v>
      </c>
      <c r="G7" s="9">
        <v>50</v>
      </c>
      <c r="H7">
        <v>0.61270000000000002</v>
      </c>
      <c r="I7">
        <v>-35.340000000000003</v>
      </c>
      <c r="K7">
        <v>60</v>
      </c>
      <c r="L7">
        <v>13.79</v>
      </c>
      <c r="M7">
        <v>0.6089</v>
      </c>
      <c r="P7" s="3">
        <v>0.2</v>
      </c>
      <c r="Q7" t="s">
        <v>21</v>
      </c>
      <c r="R7" t="s">
        <v>14</v>
      </c>
    </row>
    <row r="8" spans="1:18" x14ac:dyDescent="0.4">
      <c r="A8" s="1" t="s">
        <v>7</v>
      </c>
      <c r="B8" s="1">
        <v>200.33600000000001</v>
      </c>
      <c r="C8">
        <v>20</v>
      </c>
      <c r="D8">
        <v>4280</v>
      </c>
      <c r="E8">
        <f t="shared" si="1"/>
        <v>214</v>
      </c>
      <c r="G8">
        <v>60</v>
      </c>
      <c r="H8">
        <v>0.6089</v>
      </c>
      <c r="I8">
        <v>-46.32</v>
      </c>
      <c r="K8">
        <v>70</v>
      </c>
      <c r="L8">
        <v>22.78</v>
      </c>
      <c r="M8">
        <v>0.61280000000000001</v>
      </c>
      <c r="P8" s="3">
        <v>0.1</v>
      </c>
      <c r="Q8" t="s">
        <v>30</v>
      </c>
      <c r="R8" t="s">
        <v>21</v>
      </c>
    </row>
    <row r="9" spans="1:18" x14ac:dyDescent="0.4">
      <c r="A9" s="1" t="s">
        <v>32</v>
      </c>
      <c r="B9" s="1">
        <v>496.86799999999999</v>
      </c>
      <c r="C9">
        <v>20</v>
      </c>
      <c r="D9">
        <v>10200</v>
      </c>
      <c r="E9">
        <f t="shared" si="1"/>
        <v>510</v>
      </c>
      <c r="G9">
        <v>70</v>
      </c>
      <c r="H9">
        <v>0.61109999999999998</v>
      </c>
      <c r="I9">
        <v>-56.98</v>
      </c>
      <c r="K9">
        <v>71</v>
      </c>
      <c r="L9">
        <v>22.78</v>
      </c>
      <c r="M9">
        <v>0.61309999999999998</v>
      </c>
      <c r="P9" s="3" t="s">
        <v>8</v>
      </c>
      <c r="Q9" t="s">
        <v>20</v>
      </c>
      <c r="R9" t="s">
        <v>36</v>
      </c>
    </row>
    <row r="10" spans="1:18" x14ac:dyDescent="0.4">
      <c r="A10" s="1" t="s">
        <v>33</v>
      </c>
      <c r="B10" s="1">
        <v>994.4</v>
      </c>
      <c r="C10" s="1">
        <v>10</v>
      </c>
      <c r="D10">
        <v>10280</v>
      </c>
      <c r="E10">
        <f t="shared" si="1"/>
        <v>1028</v>
      </c>
      <c r="G10">
        <v>80</v>
      </c>
      <c r="H10">
        <v>0.61280000000000001</v>
      </c>
      <c r="I10">
        <v>-67.260000000000005</v>
      </c>
      <c r="K10">
        <v>100</v>
      </c>
      <c r="L10">
        <v>13.28</v>
      </c>
      <c r="M10">
        <v>0.6159</v>
      </c>
      <c r="P10" s="3" t="s">
        <v>9</v>
      </c>
      <c r="Q10" t="s">
        <v>15</v>
      </c>
      <c r="R10" t="s">
        <v>37</v>
      </c>
    </row>
    <row r="11" spans="1:18" x14ac:dyDescent="0.4">
      <c r="A11" s="1"/>
      <c r="B11" s="1"/>
      <c r="C11" s="1"/>
      <c r="G11" s="10">
        <v>81</v>
      </c>
      <c r="H11" s="10">
        <v>0.61309999999999998</v>
      </c>
      <c r="I11" s="10">
        <v>-68.23</v>
      </c>
      <c r="K11">
        <v>200</v>
      </c>
      <c r="L11">
        <v>18.11</v>
      </c>
      <c r="M11">
        <v>0.61680000000000001</v>
      </c>
      <c r="P11" s="3" t="s">
        <v>10</v>
      </c>
      <c r="Q11" t="s">
        <v>19</v>
      </c>
      <c r="R11" t="s">
        <v>38</v>
      </c>
    </row>
    <row r="12" spans="1:18" x14ac:dyDescent="0.4">
      <c r="G12" s="10">
        <v>90</v>
      </c>
      <c r="H12" s="10">
        <v>0.6149</v>
      </c>
      <c r="I12" s="10">
        <v>-77.27</v>
      </c>
      <c r="K12">
        <v>300</v>
      </c>
      <c r="L12">
        <v>24.99</v>
      </c>
      <c r="M12">
        <v>0.61709999999999998</v>
      </c>
      <c r="P12" s="3" t="s">
        <v>11</v>
      </c>
      <c r="Q12" t="s">
        <v>16</v>
      </c>
      <c r="R12" t="s">
        <v>39</v>
      </c>
    </row>
    <row r="13" spans="1:18" x14ac:dyDescent="0.4">
      <c r="G13" s="9">
        <v>100</v>
      </c>
      <c r="H13">
        <v>0.6159</v>
      </c>
      <c r="I13">
        <v>-86.82</v>
      </c>
      <c r="K13">
        <v>301</v>
      </c>
      <c r="L13">
        <v>24.98</v>
      </c>
      <c r="M13">
        <v>0.61680000000000001</v>
      </c>
      <c r="P13" s="3" t="s">
        <v>12</v>
      </c>
      <c r="Q13" t="s">
        <v>17</v>
      </c>
      <c r="R13" t="s">
        <v>40</v>
      </c>
    </row>
    <row r="14" spans="1:18" x14ac:dyDescent="0.4">
      <c r="A14" s="1"/>
      <c r="B14" s="1"/>
      <c r="C14" s="1"/>
      <c r="G14" s="11">
        <v>200</v>
      </c>
      <c r="H14">
        <v>0.61680000000000001</v>
      </c>
      <c r="I14">
        <v>178.14</v>
      </c>
      <c r="K14">
        <v>500</v>
      </c>
      <c r="L14">
        <v>39.520000000000003</v>
      </c>
      <c r="M14">
        <v>0.61709999999999998</v>
      </c>
      <c r="P14" s="3" t="s">
        <v>13</v>
      </c>
      <c r="Q14" t="s">
        <v>18</v>
      </c>
      <c r="R14" t="s">
        <v>41</v>
      </c>
    </row>
    <row r="15" spans="1:18" x14ac:dyDescent="0.4">
      <c r="A15" s="1"/>
      <c r="B15" s="1"/>
      <c r="C15" s="1"/>
      <c r="G15">
        <v>300</v>
      </c>
      <c r="H15">
        <v>0.61709999999999998</v>
      </c>
      <c r="I15">
        <v>84.89</v>
      </c>
      <c r="K15">
        <v>1000</v>
      </c>
      <c r="L15">
        <v>77.31</v>
      </c>
      <c r="M15">
        <v>0.61709999999999998</v>
      </c>
    </row>
    <row r="16" spans="1:18" x14ac:dyDescent="0.4">
      <c r="G16">
        <v>301</v>
      </c>
      <c r="H16">
        <v>0.61680000000000001</v>
      </c>
      <c r="I16">
        <v>83.89</v>
      </c>
      <c r="K16">
        <v>1500</v>
      </c>
      <c r="L16">
        <v>115.53</v>
      </c>
      <c r="M16">
        <v>0.61719999999999997</v>
      </c>
    </row>
    <row r="17" spans="1:13" x14ac:dyDescent="0.4">
      <c r="G17">
        <v>400</v>
      </c>
      <c r="H17">
        <v>0.61729999999999996</v>
      </c>
      <c r="I17">
        <v>-7.89</v>
      </c>
      <c r="K17">
        <v>1501</v>
      </c>
      <c r="L17">
        <v>115.57</v>
      </c>
      <c r="M17">
        <v>0.61729999999999996</v>
      </c>
    </row>
    <row r="18" spans="1:13" x14ac:dyDescent="0.4">
      <c r="G18" s="9">
        <v>500</v>
      </c>
      <c r="H18">
        <v>0.61729999999999996</v>
      </c>
      <c r="I18">
        <v>29.11</v>
      </c>
    </row>
    <row r="19" spans="1:13" x14ac:dyDescent="0.4">
      <c r="A19" s="1"/>
      <c r="B19" s="1"/>
      <c r="C19" s="1"/>
      <c r="G19">
        <v>501</v>
      </c>
      <c r="H19">
        <v>0.61729999999999996</v>
      </c>
      <c r="I19">
        <v>28.08</v>
      </c>
      <c r="K19">
        <v>2000</v>
      </c>
      <c r="L19">
        <v>154.32</v>
      </c>
      <c r="M19">
        <v>0.61709999999999998</v>
      </c>
    </row>
    <row r="20" spans="1:13" x14ac:dyDescent="0.4">
      <c r="G20">
        <v>600</v>
      </c>
      <c r="H20">
        <v>0.61729999999999996</v>
      </c>
      <c r="I20">
        <v>167</v>
      </c>
      <c r="K20">
        <v>4000</v>
      </c>
      <c r="L20">
        <v>-52.64</v>
      </c>
      <c r="M20">
        <v>0.61699999999999999</v>
      </c>
    </row>
    <row r="21" spans="1:13" x14ac:dyDescent="0.4">
      <c r="G21">
        <v>700</v>
      </c>
      <c r="H21">
        <v>0.61729999999999996</v>
      </c>
      <c r="I21">
        <v>74.55</v>
      </c>
      <c r="K21">
        <v>6000</v>
      </c>
      <c r="L21">
        <v>100.93</v>
      </c>
      <c r="M21">
        <v>0.61699999999999999</v>
      </c>
    </row>
    <row r="22" spans="1:13" x14ac:dyDescent="0.4">
      <c r="G22">
        <v>800</v>
      </c>
      <c r="H22">
        <v>0.61729999999999996</v>
      </c>
      <c r="I22">
        <v>-17.87</v>
      </c>
    </row>
    <row r="23" spans="1:13" x14ac:dyDescent="0.4">
      <c r="A23" s="1"/>
      <c r="B23" s="1"/>
      <c r="C23" s="1"/>
      <c r="G23">
        <v>801</v>
      </c>
      <c r="H23">
        <v>0.61729999999999996</v>
      </c>
      <c r="I23">
        <v>-16.829999999999998</v>
      </c>
      <c r="K23">
        <v>8000</v>
      </c>
      <c r="L23">
        <v>166.08</v>
      </c>
      <c r="M23">
        <v>0.61699999999999999</v>
      </c>
    </row>
    <row r="24" spans="1:13" x14ac:dyDescent="0.4">
      <c r="A24" s="1"/>
      <c r="B24" s="1"/>
      <c r="C24" s="1"/>
      <c r="G24">
        <v>900</v>
      </c>
      <c r="H24">
        <v>0.61729999999999996</v>
      </c>
      <c r="I24">
        <v>140.29</v>
      </c>
      <c r="K24">
        <v>8001</v>
      </c>
      <c r="L24">
        <v>165.66</v>
      </c>
      <c r="M24">
        <v>0.61699999999999999</v>
      </c>
    </row>
    <row r="25" spans="1:13" x14ac:dyDescent="0.4">
      <c r="G25">
        <v>1000</v>
      </c>
      <c r="H25">
        <v>0.61729999999999996</v>
      </c>
      <c r="I25">
        <v>157.35</v>
      </c>
      <c r="K25">
        <v>10000</v>
      </c>
      <c r="L25">
        <v>48.05</v>
      </c>
      <c r="M25">
        <v>0.61729999999999996</v>
      </c>
    </row>
    <row r="26" spans="1:13" x14ac:dyDescent="0.4">
      <c r="G26">
        <v>1100</v>
      </c>
      <c r="H26">
        <v>0.61729999999999996</v>
      </c>
      <c r="I26">
        <v>64.98</v>
      </c>
      <c r="K26">
        <v>20000</v>
      </c>
      <c r="L26" s="4" t="s">
        <v>31</v>
      </c>
      <c r="M26">
        <v>0.61850000000000005</v>
      </c>
    </row>
    <row r="27" spans="1:13" x14ac:dyDescent="0.4">
      <c r="G27">
        <v>1200</v>
      </c>
      <c r="H27">
        <v>0.61729999999999996</v>
      </c>
      <c r="I27">
        <v>-27.39</v>
      </c>
      <c r="K27">
        <v>30000</v>
      </c>
      <c r="L27">
        <v>143.56</v>
      </c>
      <c r="M27">
        <v>0.61860000000000004</v>
      </c>
    </row>
    <row r="28" spans="1:13" x14ac:dyDescent="0.4">
      <c r="G28">
        <v>1500</v>
      </c>
      <c r="H28">
        <v>0.61729999999999996</v>
      </c>
      <c r="I28">
        <v>55.56</v>
      </c>
      <c r="K28">
        <v>30001</v>
      </c>
      <c r="L28">
        <v>143.79</v>
      </c>
      <c r="M28">
        <v>0.61860000000000004</v>
      </c>
    </row>
    <row r="29" spans="1:13" x14ac:dyDescent="0.4">
      <c r="G29">
        <v>1501</v>
      </c>
      <c r="H29">
        <v>0.61729999999999996</v>
      </c>
      <c r="I29">
        <v>54.62</v>
      </c>
      <c r="K29">
        <v>40000</v>
      </c>
      <c r="L29">
        <v>118.56</v>
      </c>
      <c r="M29">
        <v>0.6139</v>
      </c>
    </row>
    <row r="30" spans="1:13" x14ac:dyDescent="0.4">
      <c r="G30">
        <v>1700</v>
      </c>
      <c r="H30">
        <v>0.61729999999999996</v>
      </c>
      <c r="I30">
        <v>167.51</v>
      </c>
      <c r="K30">
        <v>50000</v>
      </c>
      <c r="L30">
        <v>-120.41</v>
      </c>
      <c r="M30">
        <v>0.61629999999999996</v>
      </c>
    </row>
    <row r="31" spans="1:13" x14ac:dyDescent="0.4">
      <c r="G31">
        <v>1900</v>
      </c>
      <c r="H31">
        <v>0.61729999999999996</v>
      </c>
      <c r="I31">
        <v>46.2</v>
      </c>
      <c r="K31">
        <v>55000</v>
      </c>
      <c r="L31">
        <v>-97.48</v>
      </c>
      <c r="M31">
        <v>0.6179</v>
      </c>
    </row>
    <row r="32" spans="1:13" x14ac:dyDescent="0.4">
      <c r="G32" s="9">
        <v>2000</v>
      </c>
      <c r="H32">
        <v>0.61709999999999998</v>
      </c>
      <c r="I32">
        <v>-46.14</v>
      </c>
      <c r="K32">
        <v>55001</v>
      </c>
      <c r="L32">
        <v>-97.23</v>
      </c>
      <c r="M32">
        <v>0.6179</v>
      </c>
    </row>
    <row r="33" spans="7:13" x14ac:dyDescent="0.4">
      <c r="G33">
        <v>2500</v>
      </c>
      <c r="H33">
        <v>0.61719999999999997</v>
      </c>
      <c r="I33">
        <v>140.19999999999999</v>
      </c>
      <c r="K33">
        <v>60000</v>
      </c>
      <c r="L33">
        <v>-73.87</v>
      </c>
      <c r="M33">
        <v>0.61760000000000004</v>
      </c>
    </row>
    <row r="34" spans="7:13" x14ac:dyDescent="0.4">
      <c r="G34">
        <v>3000</v>
      </c>
      <c r="H34">
        <v>0.61719999999999997</v>
      </c>
      <c r="I34">
        <v>110.55</v>
      </c>
      <c r="K34">
        <v>70000</v>
      </c>
      <c r="L34">
        <v>-26.36</v>
      </c>
      <c r="M34">
        <v>0.61829999999999996</v>
      </c>
    </row>
    <row r="35" spans="7:13" x14ac:dyDescent="0.4">
      <c r="G35">
        <v>3001</v>
      </c>
      <c r="H35">
        <v>0.61709999999999998</v>
      </c>
      <c r="I35">
        <v>108.7</v>
      </c>
      <c r="K35">
        <v>70001</v>
      </c>
      <c r="L35">
        <v>-26.23</v>
      </c>
      <c r="M35">
        <v>0.61839999999999995</v>
      </c>
    </row>
    <row r="36" spans="7:13" x14ac:dyDescent="0.4">
      <c r="G36">
        <v>3500</v>
      </c>
      <c r="H36">
        <v>0.61719999999999997</v>
      </c>
      <c r="I36">
        <v>8.92</v>
      </c>
      <c r="K36">
        <v>75000</v>
      </c>
      <c r="L36">
        <v>-1.97</v>
      </c>
      <c r="M36">
        <v>0.61929999999999996</v>
      </c>
    </row>
    <row r="37" spans="7:13" x14ac:dyDescent="0.4">
      <c r="G37">
        <v>4000</v>
      </c>
      <c r="H37">
        <v>0.61699999999999999</v>
      </c>
      <c r="I37">
        <v>-92.69</v>
      </c>
      <c r="K37">
        <v>80000</v>
      </c>
      <c r="L37">
        <v>21.88</v>
      </c>
      <c r="M37">
        <v>0.61709999999999998</v>
      </c>
    </row>
    <row r="38" spans="7:13" x14ac:dyDescent="0.4">
      <c r="G38">
        <v>4500</v>
      </c>
      <c r="H38">
        <v>0.61719999999999997</v>
      </c>
      <c r="I38">
        <v>165.68</v>
      </c>
      <c r="K38">
        <v>84000</v>
      </c>
      <c r="L38">
        <v>-32.119999999999997</v>
      </c>
      <c r="M38">
        <v>0.61990000000000001</v>
      </c>
    </row>
    <row r="39" spans="7:13" x14ac:dyDescent="0.4">
      <c r="G39">
        <v>5000</v>
      </c>
      <c r="H39">
        <v>0.61719999999999997</v>
      </c>
      <c r="I39">
        <v>64.040000000000006</v>
      </c>
      <c r="K39">
        <v>87000</v>
      </c>
      <c r="L39">
        <v>67.98</v>
      </c>
      <c r="M39">
        <v>0.62039999999999995</v>
      </c>
    </row>
    <row r="40" spans="7:13" x14ac:dyDescent="0.4">
      <c r="G40">
        <v>5500</v>
      </c>
      <c r="H40">
        <v>0.61709999999999998</v>
      </c>
      <c r="I40">
        <v>-37.58</v>
      </c>
      <c r="K40">
        <v>87001</v>
      </c>
      <c r="L40">
        <v>67.59</v>
      </c>
      <c r="M40">
        <v>0.62050000000000005</v>
      </c>
    </row>
    <row r="41" spans="7:13" x14ac:dyDescent="0.4">
      <c r="G41">
        <v>6000</v>
      </c>
      <c r="H41">
        <v>0.61699999999999999</v>
      </c>
      <c r="I41">
        <v>-23.99</v>
      </c>
      <c r="K41">
        <v>90000</v>
      </c>
      <c r="L41">
        <v>67.41</v>
      </c>
      <c r="M41">
        <v>0.621</v>
      </c>
    </row>
    <row r="42" spans="7:13" x14ac:dyDescent="0.4">
      <c r="G42">
        <v>6001</v>
      </c>
      <c r="H42">
        <v>0.61709999999999998</v>
      </c>
      <c r="I42">
        <v>-25.38</v>
      </c>
      <c r="K42">
        <v>94000</v>
      </c>
      <c r="L42">
        <v>13.68</v>
      </c>
      <c r="M42">
        <v>0.62190000000000001</v>
      </c>
    </row>
    <row r="43" spans="7:13" x14ac:dyDescent="0.4">
      <c r="G43">
        <v>6500</v>
      </c>
      <c r="H43">
        <v>0.61709999999999998</v>
      </c>
      <c r="I43">
        <v>119.21</v>
      </c>
      <c r="K43">
        <v>97000</v>
      </c>
      <c r="L43">
        <v>128.86000000000001</v>
      </c>
      <c r="M43">
        <v>0.62270000000000003</v>
      </c>
    </row>
    <row r="44" spans="7:13" x14ac:dyDescent="0.4">
      <c r="G44">
        <v>7000</v>
      </c>
      <c r="H44">
        <v>0.61709999999999998</v>
      </c>
      <c r="I44">
        <v>17.600000000000001</v>
      </c>
      <c r="K44">
        <v>97001</v>
      </c>
      <c r="L44">
        <v>129.01</v>
      </c>
      <c r="M44">
        <v>0.62260000000000004</v>
      </c>
    </row>
    <row r="45" spans="7:13" x14ac:dyDescent="0.4">
      <c r="G45">
        <v>7500</v>
      </c>
      <c r="H45">
        <v>0.61719999999999997</v>
      </c>
      <c r="I45">
        <v>-84.01</v>
      </c>
      <c r="K45">
        <v>100000</v>
      </c>
      <c r="L45">
        <v>116.02</v>
      </c>
      <c r="M45">
        <v>0.62509999999999999</v>
      </c>
    </row>
    <row r="46" spans="7:13" x14ac:dyDescent="0.4">
      <c r="G46">
        <v>8000</v>
      </c>
      <c r="H46">
        <v>0.61699999999999999</v>
      </c>
      <c r="I46">
        <v>174.38</v>
      </c>
    </row>
    <row r="47" spans="7:13" x14ac:dyDescent="0.4">
      <c r="G47">
        <v>8001</v>
      </c>
      <c r="H47">
        <v>0.61699999999999999</v>
      </c>
      <c r="I47">
        <v>173.46</v>
      </c>
    </row>
    <row r="48" spans="7:13" x14ac:dyDescent="0.4">
      <c r="G48">
        <v>8500</v>
      </c>
      <c r="H48">
        <v>0.61709999999999998</v>
      </c>
      <c r="I48">
        <v>72.77</v>
      </c>
    </row>
    <row r="49" spans="7:9" x14ac:dyDescent="0.4">
      <c r="G49">
        <v>9000</v>
      </c>
      <c r="H49">
        <v>0.61719999999999997</v>
      </c>
      <c r="I49">
        <v>-28.84</v>
      </c>
    </row>
    <row r="50" spans="7:9" x14ac:dyDescent="0.4">
      <c r="G50">
        <v>9500</v>
      </c>
      <c r="H50">
        <v>0.62180000000000002</v>
      </c>
      <c r="I50">
        <v>130.51</v>
      </c>
    </row>
    <row r="51" spans="7:9" x14ac:dyDescent="0.4">
      <c r="G51" s="9">
        <v>10000</v>
      </c>
      <c r="H51">
        <v>0.61729999999999996</v>
      </c>
      <c r="I51">
        <v>127.91</v>
      </c>
    </row>
    <row r="52" spans="7:9" x14ac:dyDescent="0.4">
      <c r="G52">
        <v>11000</v>
      </c>
      <c r="H52">
        <v>0.61729999999999996</v>
      </c>
      <c r="I52">
        <v>-75.28</v>
      </c>
    </row>
    <row r="53" spans="7:9" x14ac:dyDescent="0.4">
      <c r="G53">
        <v>12000</v>
      </c>
      <c r="H53">
        <v>0.61729999999999996</v>
      </c>
      <c r="I53">
        <v>81.459999999999994</v>
      </c>
    </row>
    <row r="54" spans="7:9" x14ac:dyDescent="0.4">
      <c r="G54">
        <v>13000</v>
      </c>
      <c r="H54">
        <v>0.61739999999999995</v>
      </c>
      <c r="I54">
        <v>7.84</v>
      </c>
    </row>
    <row r="55" spans="7:9" x14ac:dyDescent="0.4">
      <c r="G55">
        <v>14000</v>
      </c>
      <c r="H55">
        <v>0.61750000000000005</v>
      </c>
      <c r="I55">
        <v>35.01</v>
      </c>
    </row>
    <row r="56" spans="7:9" x14ac:dyDescent="0.4">
      <c r="G56">
        <v>14001</v>
      </c>
      <c r="H56">
        <v>0.61750000000000005</v>
      </c>
      <c r="I56">
        <v>34.090000000000003</v>
      </c>
    </row>
    <row r="57" spans="7:9" x14ac:dyDescent="0.4">
      <c r="G57">
        <v>15000</v>
      </c>
      <c r="H57">
        <v>0.61750000000000005</v>
      </c>
      <c r="I57">
        <v>119.8</v>
      </c>
    </row>
    <row r="58" spans="7:9" x14ac:dyDescent="0.4">
      <c r="G58">
        <v>16000</v>
      </c>
      <c r="H58">
        <v>0.6179</v>
      </c>
      <c r="I58">
        <v>-11.44</v>
      </c>
    </row>
    <row r="59" spans="7:9" x14ac:dyDescent="0.4">
      <c r="G59">
        <v>17000</v>
      </c>
      <c r="H59">
        <v>0.61760000000000004</v>
      </c>
      <c r="I59">
        <v>145.41</v>
      </c>
    </row>
    <row r="60" spans="7:9" x14ac:dyDescent="0.4">
      <c r="G60">
        <v>18000</v>
      </c>
      <c r="H60">
        <v>0.61770000000000003</v>
      </c>
      <c r="I60">
        <v>-57.87</v>
      </c>
    </row>
    <row r="61" spans="7:9" x14ac:dyDescent="0.4">
      <c r="G61">
        <v>19000</v>
      </c>
      <c r="H61">
        <v>0.61780000000000002</v>
      </c>
      <c r="I61">
        <v>98.98</v>
      </c>
    </row>
    <row r="62" spans="7:9" x14ac:dyDescent="0.4">
      <c r="G62">
        <v>19001</v>
      </c>
      <c r="H62">
        <v>0.61780000000000002</v>
      </c>
      <c r="I62">
        <v>97.98</v>
      </c>
    </row>
    <row r="63" spans="7:9" x14ac:dyDescent="0.4">
      <c r="G63">
        <v>20000</v>
      </c>
      <c r="H63">
        <v>0.61850000000000005</v>
      </c>
      <c r="I63">
        <v>39.69</v>
      </c>
    </row>
    <row r="64" spans="7:9" x14ac:dyDescent="0.4">
      <c r="G64">
        <v>21000</v>
      </c>
      <c r="H64">
        <v>0.6179</v>
      </c>
      <c r="I64">
        <v>52.46</v>
      </c>
    </row>
    <row r="65" spans="7:9" x14ac:dyDescent="0.4">
      <c r="G65">
        <v>22000</v>
      </c>
      <c r="H65">
        <v>0.61799999999999999</v>
      </c>
      <c r="I65">
        <v>151.63999999999999</v>
      </c>
    </row>
    <row r="66" spans="7:9" x14ac:dyDescent="0.4">
      <c r="G66">
        <v>23000</v>
      </c>
      <c r="H66">
        <v>0.61799999999999999</v>
      </c>
      <c r="I66">
        <v>6.02</v>
      </c>
    </row>
    <row r="67" spans="7:9" x14ac:dyDescent="0.4">
      <c r="G67">
        <v>24000</v>
      </c>
      <c r="H67">
        <v>0.61780000000000002</v>
      </c>
      <c r="I67">
        <v>162.79</v>
      </c>
    </row>
    <row r="68" spans="7:9" x14ac:dyDescent="0.4">
      <c r="G68">
        <v>25000</v>
      </c>
      <c r="H68">
        <v>0.61829999999999996</v>
      </c>
      <c r="I68">
        <v>-40.450000000000003</v>
      </c>
    </row>
    <row r="69" spans="7:9" x14ac:dyDescent="0.4">
      <c r="G69">
        <v>25001</v>
      </c>
      <c r="H69">
        <v>0.61809999999999998</v>
      </c>
      <c r="I69">
        <v>-41.36</v>
      </c>
    </row>
    <row r="70" spans="7:9" x14ac:dyDescent="0.4">
      <c r="G70">
        <v>26000</v>
      </c>
      <c r="H70">
        <v>0.61819999999999997</v>
      </c>
      <c r="I70">
        <v>116.34</v>
      </c>
    </row>
    <row r="71" spans="7:9" x14ac:dyDescent="0.4">
      <c r="G71">
        <v>27000</v>
      </c>
      <c r="H71">
        <v>0.61819999999999997</v>
      </c>
      <c r="I71">
        <v>-86.78</v>
      </c>
    </row>
    <row r="72" spans="7:9" x14ac:dyDescent="0.4">
      <c r="G72">
        <v>28000</v>
      </c>
      <c r="H72">
        <v>0.61829999999999996</v>
      </c>
      <c r="I72">
        <v>69.89</v>
      </c>
    </row>
    <row r="73" spans="7:9" x14ac:dyDescent="0.4">
      <c r="G73">
        <v>29000</v>
      </c>
      <c r="H73">
        <v>0.61819999999999997</v>
      </c>
      <c r="I73">
        <v>140.37</v>
      </c>
    </row>
    <row r="74" spans="7:9" x14ac:dyDescent="0.4">
      <c r="G74">
        <v>30000</v>
      </c>
      <c r="H74">
        <v>0.61860000000000004</v>
      </c>
      <c r="I74">
        <v>23.44</v>
      </c>
    </row>
    <row r="75" spans="7:9" x14ac:dyDescent="0.4">
      <c r="G75">
        <v>30001</v>
      </c>
      <c r="H75">
        <v>0.61860000000000004</v>
      </c>
      <c r="I75">
        <v>22.5</v>
      </c>
    </row>
    <row r="76" spans="7:9" x14ac:dyDescent="0.4">
      <c r="G76">
        <v>31000</v>
      </c>
      <c r="H76">
        <v>0.61829999999999996</v>
      </c>
      <c r="I76">
        <v>-64.599999999999994</v>
      </c>
    </row>
    <row r="77" spans="7:9" x14ac:dyDescent="0.4">
      <c r="G77">
        <v>32000</v>
      </c>
      <c r="H77">
        <v>0.61809999999999998</v>
      </c>
      <c r="I77">
        <v>-23.01</v>
      </c>
    </row>
    <row r="78" spans="7:9" x14ac:dyDescent="0.4">
      <c r="G78">
        <v>33000</v>
      </c>
      <c r="H78">
        <v>0.61819999999999997</v>
      </c>
      <c r="I78">
        <v>133.74</v>
      </c>
    </row>
    <row r="79" spans="7:9" x14ac:dyDescent="0.4">
      <c r="G79">
        <v>34000</v>
      </c>
      <c r="H79">
        <v>0.61809999999999998</v>
      </c>
      <c r="I79">
        <v>-69.5</v>
      </c>
    </row>
    <row r="80" spans="7:9" x14ac:dyDescent="0.4">
      <c r="G80">
        <v>35000</v>
      </c>
      <c r="H80">
        <v>0.61809999999999998</v>
      </c>
      <c r="I80">
        <v>87.26</v>
      </c>
    </row>
    <row r="81" spans="7:9" x14ac:dyDescent="0.4">
      <c r="G81">
        <v>35001</v>
      </c>
      <c r="H81">
        <v>0.61809999999999998</v>
      </c>
      <c r="I81">
        <v>86.34</v>
      </c>
    </row>
    <row r="82" spans="7:9" x14ac:dyDescent="0.4">
      <c r="G82">
        <v>36000</v>
      </c>
      <c r="H82">
        <v>0.6179</v>
      </c>
      <c r="I82">
        <v>157.63999999999999</v>
      </c>
    </row>
    <row r="83" spans="7:9" x14ac:dyDescent="0.4">
      <c r="G83">
        <v>36500</v>
      </c>
      <c r="H83">
        <v>0.6179</v>
      </c>
      <c r="I83">
        <v>142.41999999999999</v>
      </c>
    </row>
    <row r="84" spans="7:9" x14ac:dyDescent="0.4">
      <c r="G84">
        <v>38000</v>
      </c>
      <c r="H84">
        <v>0.61770000000000003</v>
      </c>
      <c r="I84">
        <v>-32.700000000000003</v>
      </c>
    </row>
    <row r="85" spans="7:9" x14ac:dyDescent="0.4">
      <c r="G85">
        <v>39000</v>
      </c>
      <c r="H85">
        <v>0.61770000000000003</v>
      </c>
      <c r="I85">
        <v>-5.53</v>
      </c>
    </row>
    <row r="86" spans="7:9" x14ac:dyDescent="0.4">
      <c r="G86" s="9">
        <v>40000</v>
      </c>
      <c r="H86">
        <v>0.6139</v>
      </c>
      <c r="I86">
        <v>151.31</v>
      </c>
    </row>
    <row r="87" spans="7:9" x14ac:dyDescent="0.4">
      <c r="G87">
        <v>41000</v>
      </c>
      <c r="H87">
        <v>0.61770000000000003</v>
      </c>
      <c r="I87">
        <v>-52.15</v>
      </c>
    </row>
    <row r="88" spans="7:9" x14ac:dyDescent="0.4">
      <c r="G88">
        <v>42000</v>
      </c>
      <c r="H88">
        <v>0.61760000000000004</v>
      </c>
      <c r="I88">
        <v>104.62</v>
      </c>
    </row>
    <row r="89" spans="7:9" x14ac:dyDescent="0.4">
      <c r="G89">
        <v>43000</v>
      </c>
      <c r="H89">
        <v>0.61770000000000003</v>
      </c>
      <c r="I89">
        <v>-98.63</v>
      </c>
    </row>
    <row r="90" spans="7:9" x14ac:dyDescent="0.4">
      <c r="G90">
        <v>44000</v>
      </c>
      <c r="H90">
        <v>0.61760000000000004</v>
      </c>
      <c r="I90">
        <v>58.14</v>
      </c>
    </row>
    <row r="91" spans="7:9" x14ac:dyDescent="0.4">
      <c r="G91">
        <v>45000</v>
      </c>
      <c r="H91">
        <v>0.61760000000000004</v>
      </c>
      <c r="I91">
        <v>-1.1000000000000001</v>
      </c>
    </row>
    <row r="92" spans="7:9" x14ac:dyDescent="0.4">
      <c r="G92">
        <v>45001</v>
      </c>
      <c r="H92">
        <v>0.61760000000000004</v>
      </c>
      <c r="I92">
        <v>-2.5</v>
      </c>
    </row>
    <row r="93" spans="7:9" x14ac:dyDescent="0.4">
      <c r="G93">
        <v>46000</v>
      </c>
      <c r="H93">
        <v>0.61750000000000005</v>
      </c>
      <c r="I93">
        <v>11.64</v>
      </c>
    </row>
    <row r="94" spans="7:9" x14ac:dyDescent="0.4">
      <c r="G94">
        <v>47000</v>
      </c>
      <c r="H94">
        <v>0.61739999999999995</v>
      </c>
      <c r="I94">
        <v>168.57</v>
      </c>
    </row>
    <row r="95" spans="7:9" x14ac:dyDescent="0.4">
      <c r="G95">
        <v>48000</v>
      </c>
      <c r="H95">
        <v>0.61770000000000003</v>
      </c>
      <c r="I95">
        <v>-34.840000000000003</v>
      </c>
    </row>
    <row r="96" spans="7:9" x14ac:dyDescent="0.4">
      <c r="G96">
        <v>49000</v>
      </c>
      <c r="H96">
        <v>0.61750000000000005</v>
      </c>
      <c r="I96">
        <v>121.9</v>
      </c>
    </row>
    <row r="97" spans="7:9" x14ac:dyDescent="0.4">
      <c r="G97">
        <v>50000</v>
      </c>
      <c r="H97">
        <v>0.61629999999999996</v>
      </c>
      <c r="I97">
        <v>-81.27</v>
      </c>
    </row>
    <row r="98" spans="7:9" x14ac:dyDescent="0.4">
      <c r="G98">
        <v>51000</v>
      </c>
      <c r="H98">
        <v>0.61750000000000005</v>
      </c>
      <c r="I98">
        <v>75.39</v>
      </c>
    </row>
    <row r="99" spans="7:9" x14ac:dyDescent="0.4">
      <c r="G99">
        <v>52000</v>
      </c>
      <c r="H99">
        <v>0.61750000000000005</v>
      </c>
      <c r="I99">
        <v>30.54</v>
      </c>
    </row>
    <row r="100" spans="7:9" x14ac:dyDescent="0.4">
      <c r="G100">
        <v>53000</v>
      </c>
      <c r="H100">
        <v>0.61750000000000005</v>
      </c>
      <c r="I100">
        <v>28.88</v>
      </c>
    </row>
    <row r="101" spans="7:9" x14ac:dyDescent="0.4">
      <c r="G101">
        <v>54000</v>
      </c>
      <c r="H101">
        <v>0.61750000000000005</v>
      </c>
      <c r="I101">
        <v>142.4</v>
      </c>
    </row>
    <row r="102" spans="7:9" x14ac:dyDescent="0.4">
      <c r="G102">
        <v>55000</v>
      </c>
      <c r="H102">
        <v>0.6179</v>
      </c>
      <c r="I102">
        <v>-17.760000000000002</v>
      </c>
    </row>
    <row r="103" spans="7:9" x14ac:dyDescent="0.4">
      <c r="G103">
        <v>55001</v>
      </c>
      <c r="H103">
        <v>0.6179</v>
      </c>
      <c r="I103">
        <v>-18.48</v>
      </c>
    </row>
    <row r="104" spans="7:9" x14ac:dyDescent="0.4">
      <c r="G104">
        <v>56000</v>
      </c>
      <c r="H104">
        <v>0.61729999999999996</v>
      </c>
      <c r="I104">
        <v>139.22999999999999</v>
      </c>
    </row>
    <row r="105" spans="7:9" x14ac:dyDescent="0.4">
      <c r="G105">
        <v>57000</v>
      </c>
      <c r="H105">
        <v>0.61750000000000005</v>
      </c>
      <c r="I105">
        <v>-64.2</v>
      </c>
    </row>
    <row r="106" spans="7:9" x14ac:dyDescent="0.4">
      <c r="G106">
        <v>58000</v>
      </c>
    </row>
    <row r="107" spans="7:9" x14ac:dyDescent="0.4">
      <c r="G107">
        <v>59000</v>
      </c>
    </row>
    <row r="108" spans="7:9" x14ac:dyDescent="0.4">
      <c r="G108" s="9">
        <v>60000</v>
      </c>
      <c r="H108">
        <v>0.61760000000000004</v>
      </c>
      <c r="I108">
        <v>45.94</v>
      </c>
    </row>
    <row r="109" spans="7:9" x14ac:dyDescent="0.4">
      <c r="G109">
        <v>61000</v>
      </c>
    </row>
    <row r="110" spans="7:9" x14ac:dyDescent="0.4">
      <c r="G110">
        <v>62000</v>
      </c>
    </row>
    <row r="111" spans="7:9" x14ac:dyDescent="0.4">
      <c r="G111">
        <v>63000</v>
      </c>
    </row>
    <row r="112" spans="7:9" x14ac:dyDescent="0.4">
      <c r="G112">
        <v>64000</v>
      </c>
    </row>
    <row r="113" spans="7:9" x14ac:dyDescent="0.4">
      <c r="G113">
        <v>65000</v>
      </c>
    </row>
    <row r="114" spans="7:9" x14ac:dyDescent="0.4">
      <c r="G114">
        <v>65001</v>
      </c>
    </row>
    <row r="115" spans="7:9" x14ac:dyDescent="0.4">
      <c r="G115">
        <v>66000</v>
      </c>
    </row>
    <row r="116" spans="7:9" x14ac:dyDescent="0.4">
      <c r="G116">
        <v>67000</v>
      </c>
    </row>
    <row r="117" spans="7:9" x14ac:dyDescent="0.4">
      <c r="G117">
        <v>68000</v>
      </c>
    </row>
    <row r="118" spans="7:9" x14ac:dyDescent="0.4">
      <c r="G118">
        <v>69000</v>
      </c>
    </row>
    <row r="119" spans="7:9" x14ac:dyDescent="0.4">
      <c r="G119">
        <v>70000</v>
      </c>
      <c r="H119">
        <v>0.61829999999999996</v>
      </c>
      <c r="I119">
        <v>173.08</v>
      </c>
    </row>
    <row r="120" spans="7:9" x14ac:dyDescent="0.4">
      <c r="G120">
        <v>70001</v>
      </c>
      <c r="H120">
        <v>0.61839999999999995</v>
      </c>
      <c r="I120">
        <v>172.14</v>
      </c>
    </row>
    <row r="121" spans="7:9" x14ac:dyDescent="0.4">
      <c r="G121">
        <v>71000</v>
      </c>
    </row>
    <row r="122" spans="7:9" x14ac:dyDescent="0.4">
      <c r="G122">
        <v>72000</v>
      </c>
    </row>
    <row r="123" spans="7:9" x14ac:dyDescent="0.4">
      <c r="G123">
        <v>73000</v>
      </c>
    </row>
    <row r="124" spans="7:9" x14ac:dyDescent="0.4">
      <c r="G124">
        <v>74000</v>
      </c>
    </row>
    <row r="125" spans="7:9" x14ac:dyDescent="0.4">
      <c r="G125">
        <v>75000</v>
      </c>
      <c r="H125">
        <v>0.61929999999999996</v>
      </c>
      <c r="I125">
        <v>-123.43</v>
      </c>
    </row>
    <row r="126" spans="7:9" x14ac:dyDescent="0.4">
      <c r="G126">
        <v>75001</v>
      </c>
    </row>
    <row r="127" spans="7:9" x14ac:dyDescent="0.4">
      <c r="G127">
        <v>76000</v>
      </c>
    </row>
    <row r="128" spans="7:9" x14ac:dyDescent="0.4">
      <c r="G128">
        <v>77000</v>
      </c>
    </row>
    <row r="129" spans="7:9" x14ac:dyDescent="0.4">
      <c r="G129">
        <v>78000</v>
      </c>
    </row>
    <row r="130" spans="7:9" x14ac:dyDescent="0.4">
      <c r="G130">
        <v>79000</v>
      </c>
    </row>
    <row r="131" spans="7:9" x14ac:dyDescent="0.4">
      <c r="G131" s="9">
        <v>80000</v>
      </c>
      <c r="H131">
        <v>0.61709999999999998</v>
      </c>
      <c r="I131">
        <v>-59.72</v>
      </c>
    </row>
    <row r="132" spans="7:9" x14ac:dyDescent="0.4">
      <c r="G132">
        <v>81000</v>
      </c>
    </row>
    <row r="133" spans="7:9" x14ac:dyDescent="0.4">
      <c r="G133">
        <v>82000</v>
      </c>
    </row>
    <row r="134" spans="7:9" x14ac:dyDescent="0.4">
      <c r="G134">
        <v>83000</v>
      </c>
    </row>
    <row r="135" spans="7:9" x14ac:dyDescent="0.4">
      <c r="G135">
        <v>84000</v>
      </c>
      <c r="H135">
        <v>0.61990000000000001</v>
      </c>
      <c r="I135">
        <v>19.57</v>
      </c>
    </row>
    <row r="136" spans="7:9" x14ac:dyDescent="0.4">
      <c r="G136">
        <v>85000</v>
      </c>
    </row>
    <row r="137" spans="7:9" x14ac:dyDescent="0.4">
      <c r="G137">
        <v>86000</v>
      </c>
    </row>
    <row r="138" spans="7:9" x14ac:dyDescent="0.4">
      <c r="G138">
        <v>87000</v>
      </c>
      <c r="H138">
        <v>0.62039999999999995</v>
      </c>
      <c r="I138">
        <v>-43.23</v>
      </c>
    </row>
    <row r="139" spans="7:9" x14ac:dyDescent="0.4">
      <c r="G139">
        <v>87001</v>
      </c>
      <c r="H139">
        <v>0.62050000000000005</v>
      </c>
      <c r="I139">
        <v>-44.17</v>
      </c>
    </row>
    <row r="140" spans="7:9" x14ac:dyDescent="0.4">
      <c r="G140">
        <v>88000</v>
      </c>
    </row>
    <row r="141" spans="7:9" x14ac:dyDescent="0.4">
      <c r="G141">
        <v>89000</v>
      </c>
    </row>
    <row r="142" spans="7:9" x14ac:dyDescent="0.4">
      <c r="G142" s="9">
        <v>90000</v>
      </c>
      <c r="H142">
        <v>0.621</v>
      </c>
      <c r="I142">
        <v>66.819999999999993</v>
      </c>
    </row>
    <row r="143" spans="7:9" x14ac:dyDescent="0.4">
      <c r="G143">
        <v>91000</v>
      </c>
    </row>
    <row r="144" spans="7:9" x14ac:dyDescent="0.4">
      <c r="G144">
        <v>92000</v>
      </c>
    </row>
    <row r="145" spans="7:9" x14ac:dyDescent="0.4">
      <c r="G145">
        <v>93000</v>
      </c>
    </row>
    <row r="146" spans="7:9" x14ac:dyDescent="0.4">
      <c r="G146">
        <v>94000</v>
      </c>
      <c r="H146">
        <v>0.62190000000000001</v>
      </c>
      <c r="I146">
        <v>-26.58</v>
      </c>
    </row>
    <row r="147" spans="7:9" x14ac:dyDescent="0.4">
      <c r="G147">
        <v>95000</v>
      </c>
    </row>
    <row r="148" spans="7:9" x14ac:dyDescent="0.4">
      <c r="G148">
        <v>96000</v>
      </c>
    </row>
    <row r="149" spans="7:9" x14ac:dyDescent="0.4">
      <c r="G149">
        <v>97000</v>
      </c>
      <c r="H149">
        <v>0.62270000000000003</v>
      </c>
      <c r="I149">
        <v>83.36</v>
      </c>
    </row>
    <row r="150" spans="7:9" x14ac:dyDescent="0.4">
      <c r="G150">
        <v>97001</v>
      </c>
      <c r="H150">
        <v>0.62260000000000004</v>
      </c>
      <c r="I150">
        <v>82.44</v>
      </c>
    </row>
    <row r="151" spans="7:9" x14ac:dyDescent="0.4">
      <c r="G151">
        <v>98000</v>
      </c>
    </row>
    <row r="152" spans="7:9" x14ac:dyDescent="0.4">
      <c r="G152">
        <v>99000</v>
      </c>
    </row>
    <row r="153" spans="7:9" x14ac:dyDescent="0.4">
      <c r="G153" s="9">
        <v>100000</v>
      </c>
      <c r="H153">
        <v>0.62509999999999999</v>
      </c>
      <c r="I153">
        <v>-165.65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13311B4AF4424FBCB1BACAB138C90C" ma:contentTypeVersion="9" ma:contentTypeDescription="Create a new document." ma:contentTypeScope="" ma:versionID="12b16e9e634efae10713b23626af4e1a">
  <xsd:schema xmlns:xsd="http://www.w3.org/2001/XMLSchema" xmlns:xs="http://www.w3.org/2001/XMLSchema" xmlns:p="http://schemas.microsoft.com/office/2006/metadata/properties" xmlns:ns3="b0c48430-4b5b-4d14-b1b6-e0aa43896cc5" targetNamespace="http://schemas.microsoft.com/office/2006/metadata/properties" ma:root="true" ma:fieldsID="ad816bf1544bf1867e7c843fc0c2bb45" ns3:_="">
    <xsd:import namespace="b0c48430-4b5b-4d14-b1b6-e0aa43896cc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c48430-4b5b-4d14-b1b6-e0aa43896cc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c48430-4b5b-4d14-b1b6-e0aa43896cc5" xsi:nil="true"/>
  </documentManagement>
</p:properties>
</file>

<file path=customXml/itemProps1.xml><?xml version="1.0" encoding="utf-8"?>
<ds:datastoreItem xmlns:ds="http://schemas.openxmlformats.org/officeDocument/2006/customXml" ds:itemID="{D9D8CDA6-7F0D-490D-847F-12B17BD6EB5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8E291B4-CB11-496C-BC67-5A25D2F795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c48430-4b5b-4d14-b1b6-e0aa43896c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80E0353-AFD8-418B-9FA5-7E5C33D9A363}">
  <ds:schemaRefs>
    <ds:schemaRef ds:uri="http://schemas.microsoft.com/office/2006/metadata/properties"/>
    <ds:schemaRef ds:uri="http://schemas.microsoft.com/office/infopath/2007/PartnerControls"/>
    <ds:schemaRef ds:uri="b0c48430-4b5b-4d14-b1b6-e0aa43896c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AD8429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Yang, Chengyu</dc:creator>
  <cp:keywords/>
  <dc:description/>
  <cp:lastModifiedBy>Liu, Arno</cp:lastModifiedBy>
  <cp:revision/>
  <dcterms:created xsi:type="dcterms:W3CDTF">2025-11-14T20:51:55Z</dcterms:created>
  <dcterms:modified xsi:type="dcterms:W3CDTF">2025-12-15T16:04:42Z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0x010100FB13311B4AF4424FBCB1BACAB138C90C</vt:lpwstr>
  </property>
</Properties>
</file>