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no\Desktop\Submit\Lockin_Amplifier\"/>
    </mc:Choice>
  </mc:AlternateContent>
  <xr:revisionPtr revIDLastSave="0" documentId="13_ncr:1_{0A5A0248-CB0A-42F0-998D-B3763954D808}" xr6:coauthVersionLast="47" xr6:coauthVersionMax="47" xr10:uidLastSave="{00000000-0000-0000-0000-000000000000}"/>
  <bookViews>
    <workbookView xWindow="-98" yWindow="-98" windowWidth="21795" windowHeight="13695" xr2:uid="{ECC45002-C37E-4C85-97F1-1B67043623D2}"/>
  </bookViews>
  <sheets>
    <sheet name="AD842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<sst xmlns="http://schemas.openxmlformats.org/spreadsheetml/2006/main" count="56" uniqueCount="47">
  <si>
    <t>Phase</t>
  </si>
  <si>
    <t>6.04 kΩ</t>
  </si>
  <si>
    <t>1.50 kΩ</t>
  </si>
  <si>
    <t>665 Ω</t>
  </si>
  <si>
    <t>316 Ω</t>
  </si>
  <si>
    <t>121 Ω</t>
  </si>
  <si>
    <t>60.4 Ω</t>
  </si>
  <si>
    <t>30.1 Ω</t>
  </si>
  <si>
    <t>50m</t>
    <phoneticPr fontId="2" type="noConversion"/>
  </si>
  <si>
    <t>20m</t>
    <phoneticPr fontId="2" type="noConversion"/>
  </si>
  <si>
    <t>10m</t>
    <phoneticPr fontId="2" type="noConversion"/>
  </si>
  <si>
    <t>5m</t>
    <phoneticPr fontId="2" type="noConversion"/>
  </si>
  <si>
    <t>2m</t>
    <phoneticPr fontId="2" type="noConversion"/>
  </si>
  <si>
    <t>1m</t>
    <phoneticPr fontId="2" type="noConversion"/>
  </si>
  <si>
    <t>2s</t>
    <phoneticPr fontId="2" type="noConversion"/>
  </si>
  <si>
    <t>70s</t>
    <phoneticPr fontId="2" type="noConversion"/>
  </si>
  <si>
    <t>240s</t>
    <phoneticPr fontId="2" type="noConversion"/>
  </si>
  <si>
    <t>10min</t>
    <phoneticPr fontId="2" type="noConversion"/>
  </si>
  <si>
    <t>20min</t>
    <phoneticPr fontId="2" type="noConversion"/>
  </si>
  <si>
    <t>110s</t>
    <phoneticPr fontId="2" type="noConversion"/>
  </si>
  <si>
    <t>27s</t>
    <phoneticPr fontId="2" type="noConversion"/>
  </si>
  <si>
    <t>5s</t>
    <phoneticPr fontId="2" type="noConversion"/>
  </si>
  <si>
    <t>3s</t>
    <phoneticPr fontId="2" type="noConversion"/>
  </si>
  <si>
    <t>1s</t>
    <phoneticPr fontId="2" type="noConversion"/>
  </si>
  <si>
    <t>Vout(Vpp/mV)</t>
    <phoneticPr fontId="2" type="noConversion"/>
  </si>
  <si>
    <t>Vin(Vpp/mV)</t>
    <phoneticPr fontId="2" type="noConversion"/>
  </si>
  <si>
    <t>(R_G)（1% standard value）</t>
    <phoneticPr fontId="2" type="noConversion"/>
  </si>
  <si>
    <t>Datasheet Gain (AD8429)</t>
    <phoneticPr fontId="2" type="noConversion"/>
  </si>
  <si>
    <t>Measured Gain</t>
    <phoneticPr fontId="2" type="noConversion"/>
  </si>
  <si>
    <t>BW/Hz</t>
    <phoneticPr fontId="2" type="noConversion"/>
  </si>
  <si>
    <t>11s</t>
    <phoneticPr fontId="2" type="noConversion"/>
  </si>
  <si>
    <t>95,84</t>
    <phoneticPr fontId="2" type="noConversion"/>
  </si>
  <si>
    <t>12.1 Ω</t>
    <phoneticPr fontId="2" type="noConversion"/>
  </si>
  <si>
    <t>6.04Ω</t>
    <phoneticPr fontId="2" type="noConversion"/>
  </si>
  <si>
    <t>settling time to 99% final value</t>
    <phoneticPr fontId="2" type="noConversion"/>
  </si>
  <si>
    <t>settling time to 95% final value</t>
    <phoneticPr fontId="2" type="noConversion"/>
  </si>
  <si>
    <t>12s</t>
    <phoneticPr fontId="2" type="noConversion"/>
  </si>
  <si>
    <t>30s</t>
    <phoneticPr fontId="2" type="noConversion"/>
  </si>
  <si>
    <t>47s</t>
    <phoneticPr fontId="2" type="noConversion"/>
  </si>
  <si>
    <t>102s</t>
    <phoneticPr fontId="2" type="noConversion"/>
  </si>
  <si>
    <t>267s</t>
    <phoneticPr fontId="2" type="noConversion"/>
  </si>
  <si>
    <t>5min</t>
    <phoneticPr fontId="2" type="noConversion"/>
  </si>
  <si>
    <t>Calibration:</t>
    <phoneticPr fontId="2" type="noConversion"/>
  </si>
  <si>
    <t>Reference frequency/HZ</t>
    <phoneticPr fontId="2" type="noConversion"/>
  </si>
  <si>
    <t>Vout/V</t>
    <phoneticPr fontId="2" type="noConversion"/>
  </si>
  <si>
    <t>Vdac/V</t>
    <phoneticPr fontId="2" type="noConversion"/>
  </si>
  <si>
    <t>By observation: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</si>
</sst>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39F4-35A7-4743-9BCB-196EE50C4748}">
  <dimension ref="A1:N43"/>
  <sheetViews>
    <sheetView tabSelected="1" workbookViewId="0">
      <selection activeCell="L2" sqref="L2"/>
    </sheetView>
  </sheetViews>
  <sheetFormatPr defaultColWidth="8.73046875" defaultRowHeight="13.9" x14ac:dyDescent="0.4"/>
  <cols>
    <col min="1" max="1" width="10.6640625" customWidth="1"/>
    <col min="2" max="2" width="23.33203125" customWidth="1"/>
    <col min="3" max="3" width="13.19921875" customWidth="1"/>
    <col min="4" max="4" width="13.9296875" customWidth="1"/>
    <col min="5" max="5" width="12.265625" customWidth="1"/>
    <col min="6" max="6" width="11.1328125" customWidth="1"/>
    <col min="7" max="7" width="12.46484375" customWidth="1"/>
    <col min="10" max="10" width="9.19921875" customWidth="1"/>
    <col min="11" max="11" width="13.265625" customWidth="1"/>
    <col min="12" max="12" width="14.6640625" customWidth="1"/>
    <col min="13" max="13" width="15.46484375" customWidth="1"/>
    <col min="14" max="14" width="13.53125" customWidth="1"/>
    <col min="15" max="15" width="16.265625" customWidth="1"/>
    <col min="16" max="16" width="7.9296875" customWidth="1"/>
    <col min="17" max="17" width="13.86328125" customWidth="1"/>
    <col min="18" max="18" width="14.33203125" customWidth="1"/>
  </cols>
  <sheetData>
    <row r="1" spans="1:14" ht="42.75" customHeight="1" x14ac:dyDescent="0.4">
      <c r="A1" s="2" t="s">
        <v>26</v>
      </c>
      <c r="B1" s="6" t="s">
        <v>27</v>
      </c>
      <c r="C1" t="s">
        <v>25</v>
      </c>
      <c r="D1" t="s">
        <v>24</v>
      </c>
      <c r="E1" s="5" t="s">
        <v>28</v>
      </c>
      <c r="F1" t="s">
        <v>42</v>
      </c>
      <c r="G1" s="8" t="s">
        <v>43</v>
      </c>
      <c r="H1" t="s">
        <v>0</v>
      </c>
      <c r="I1" t="s">
        <v>44</v>
      </c>
      <c r="J1" t="s">
        <v>45</v>
      </c>
      <c r="K1" t="s">
        <v>46</v>
      </c>
      <c r="L1" t="s">
        <v>29</v>
      </c>
      <c r="M1" s="7" t="s">
        <v>34</v>
      </c>
      <c r="N1" s="8" t="s">
        <v>35</v>
      </c>
    </row>
    <row r="2" spans="1:14" x14ac:dyDescent="0.4">
      <c r="A2" s="1" t="s">
        <v>1</v>
      </c>
      <c r="B2" s="1">
        <v>1.9930000000000001</v>
      </c>
      <c r="C2">
        <v>100</v>
      </c>
      <c r="D2" s="1">
        <v>224</v>
      </c>
      <c r="E2">
        <f>D2/C2</f>
        <v>2.2400000000000002</v>
      </c>
      <c r="G2">
        <v>10</v>
      </c>
      <c r="H2">
        <v>49.82</v>
      </c>
      <c r="I2">
        <v>0.5302</v>
      </c>
      <c r="J2">
        <v>0.67200000000000004</v>
      </c>
      <c r="L2" s="3">
        <v>10</v>
      </c>
      <c r="M2" t="s">
        <v>23</v>
      </c>
      <c r="N2" t="s">
        <v>23</v>
      </c>
    </row>
    <row r="3" spans="1:14" x14ac:dyDescent="0.4">
      <c r="A3" s="1" t="s">
        <v>2</v>
      </c>
      <c r="B3" s="1">
        <v>5</v>
      </c>
      <c r="C3">
        <v>100</v>
      </c>
      <c r="D3">
        <v>526</v>
      </c>
      <c r="E3">
        <f t="shared" ref="E3" si="0">D3/C3</f>
        <v>5.26</v>
      </c>
      <c r="G3">
        <v>20</v>
      </c>
      <c r="H3">
        <v>29.35</v>
      </c>
      <c r="I3">
        <v>0.58940000000000003</v>
      </c>
      <c r="L3" s="3">
        <v>5</v>
      </c>
      <c r="M3" t="s">
        <v>23</v>
      </c>
      <c r="N3" t="s">
        <v>23</v>
      </c>
    </row>
    <row r="4" spans="1:14" x14ac:dyDescent="0.4">
      <c r="A4" s="1" t="s">
        <v>3</v>
      </c>
      <c r="B4" s="1">
        <v>10.023</v>
      </c>
      <c r="C4">
        <v>50</v>
      </c>
      <c r="D4">
        <v>528</v>
      </c>
      <c r="E4">
        <f t="shared" ref="E4:E10" si="1">D4/C4</f>
        <v>10.56</v>
      </c>
      <c r="G4">
        <v>30</v>
      </c>
      <c r="H4">
        <v>22.39</v>
      </c>
      <c r="I4">
        <v>0.6</v>
      </c>
      <c r="L4" s="3">
        <v>2</v>
      </c>
      <c r="M4" t="s">
        <v>23</v>
      </c>
      <c r="N4" t="s">
        <v>23</v>
      </c>
    </row>
    <row r="5" spans="1:14" x14ac:dyDescent="0.4">
      <c r="A5" s="1" t="s">
        <v>4</v>
      </c>
      <c r="B5" s="1">
        <v>19.986999999999998</v>
      </c>
      <c r="C5">
        <v>20</v>
      </c>
      <c r="D5">
        <v>424</v>
      </c>
      <c r="E5">
        <f t="shared" si="1"/>
        <v>21.2</v>
      </c>
      <c r="G5">
        <v>31</v>
      </c>
      <c r="H5">
        <v>20.67</v>
      </c>
      <c r="I5">
        <v>0.60060000000000002</v>
      </c>
      <c r="L5" s="3">
        <v>1</v>
      </c>
      <c r="M5" t="s">
        <v>14</v>
      </c>
      <c r="N5" t="s">
        <v>23</v>
      </c>
    </row>
    <row r="6" spans="1:14" x14ac:dyDescent="0.4">
      <c r="A6" s="1" t="s">
        <v>5</v>
      </c>
      <c r="B6" s="1">
        <v>50.587000000000003</v>
      </c>
      <c r="C6">
        <v>20</v>
      </c>
      <c r="D6">
        <v>1060</v>
      </c>
      <c r="E6">
        <f t="shared" si="1"/>
        <v>53</v>
      </c>
      <c r="G6">
        <v>50</v>
      </c>
      <c r="H6">
        <v>14.77</v>
      </c>
      <c r="I6">
        <v>0.61270000000000002</v>
      </c>
      <c r="L6" s="3">
        <v>0.5</v>
      </c>
      <c r="M6" t="s">
        <v>22</v>
      </c>
      <c r="N6" t="s">
        <v>23</v>
      </c>
    </row>
    <row r="7" spans="1:14" x14ac:dyDescent="0.4">
      <c r="A7" s="1" t="s">
        <v>6</v>
      </c>
      <c r="B7" s="1">
        <v>100.33799999999999</v>
      </c>
      <c r="C7">
        <v>20</v>
      </c>
      <c r="D7">
        <v>2160</v>
      </c>
      <c r="E7">
        <f t="shared" si="1"/>
        <v>108</v>
      </c>
      <c r="G7">
        <v>60</v>
      </c>
      <c r="H7">
        <v>13.79</v>
      </c>
      <c r="I7">
        <v>0.6089</v>
      </c>
      <c r="L7" s="3">
        <v>0.2</v>
      </c>
      <c r="M7" t="s">
        <v>21</v>
      </c>
      <c r="N7" t="s">
        <v>14</v>
      </c>
    </row>
    <row r="8" spans="1:14" x14ac:dyDescent="0.4">
      <c r="A8" s="1" t="s">
        <v>7</v>
      </c>
      <c r="B8" s="1">
        <v>200.33600000000001</v>
      </c>
      <c r="C8">
        <v>20</v>
      </c>
      <c r="D8">
        <v>4280</v>
      </c>
      <c r="E8">
        <f t="shared" si="1"/>
        <v>214</v>
      </c>
      <c r="G8">
        <v>70</v>
      </c>
      <c r="H8">
        <v>22.78</v>
      </c>
      <c r="I8">
        <v>0.61280000000000001</v>
      </c>
      <c r="L8" s="3">
        <v>0.1</v>
      </c>
      <c r="M8" t="s">
        <v>30</v>
      </c>
      <c r="N8" t="s">
        <v>21</v>
      </c>
    </row>
    <row r="9" spans="1:14" x14ac:dyDescent="0.4">
      <c r="A9" s="1" t="s">
        <v>32</v>
      </c>
      <c r="B9" s="1">
        <v>496.86799999999999</v>
      </c>
      <c r="C9">
        <v>20</v>
      </c>
      <c r="D9">
        <v>10200</v>
      </c>
      <c r="E9">
        <f t="shared" si="1"/>
        <v>510</v>
      </c>
      <c r="G9">
        <v>71</v>
      </c>
      <c r="H9">
        <v>22.78</v>
      </c>
      <c r="I9">
        <v>0.61309999999999998</v>
      </c>
      <c r="L9" s="3" t="s">
        <v>8</v>
      </c>
      <c r="M9" t="s">
        <v>20</v>
      </c>
      <c r="N9" t="s">
        <v>36</v>
      </c>
    </row>
    <row r="10" spans="1:14" x14ac:dyDescent="0.4">
      <c r="A10" s="1" t="s">
        <v>33</v>
      </c>
      <c r="B10" s="1">
        <v>994.4</v>
      </c>
      <c r="C10" s="1">
        <v>10</v>
      </c>
      <c r="D10">
        <v>10280</v>
      </c>
      <c r="E10">
        <f t="shared" si="1"/>
        <v>1028</v>
      </c>
      <c r="G10">
        <v>100</v>
      </c>
      <c r="H10">
        <v>13.28</v>
      </c>
      <c r="I10">
        <v>0.6159</v>
      </c>
      <c r="L10" s="3" t="s">
        <v>9</v>
      </c>
      <c r="M10" t="s">
        <v>15</v>
      </c>
      <c r="N10" t="s">
        <v>37</v>
      </c>
    </row>
    <row r="11" spans="1:14" x14ac:dyDescent="0.4">
      <c r="A11" s="1"/>
      <c r="B11" s="1"/>
      <c r="C11" s="1"/>
      <c r="G11">
        <v>200</v>
      </c>
      <c r="H11">
        <v>18.11</v>
      </c>
      <c r="I11">
        <v>0.61680000000000001</v>
      </c>
      <c r="L11" s="3" t="s">
        <v>10</v>
      </c>
      <c r="M11" t="s">
        <v>19</v>
      </c>
      <c r="N11" t="s">
        <v>38</v>
      </c>
    </row>
    <row r="12" spans="1:14" x14ac:dyDescent="0.4">
      <c r="G12">
        <v>300</v>
      </c>
      <c r="H12">
        <v>24.99</v>
      </c>
      <c r="I12">
        <v>0.61709999999999998</v>
      </c>
      <c r="L12" s="3" t="s">
        <v>11</v>
      </c>
      <c r="M12" t="s">
        <v>16</v>
      </c>
      <c r="N12" t="s">
        <v>39</v>
      </c>
    </row>
    <row r="13" spans="1:14" x14ac:dyDescent="0.4">
      <c r="G13">
        <v>301</v>
      </c>
      <c r="H13">
        <v>24.98</v>
      </c>
      <c r="I13">
        <v>0.61680000000000001</v>
      </c>
      <c r="L13" s="3" t="s">
        <v>12</v>
      </c>
      <c r="M13" t="s">
        <v>17</v>
      </c>
      <c r="N13" t="s">
        <v>40</v>
      </c>
    </row>
    <row r="14" spans="1:14" x14ac:dyDescent="0.4">
      <c r="A14" s="1"/>
      <c r="B14" s="1"/>
      <c r="C14" s="1"/>
      <c r="G14">
        <v>500</v>
      </c>
      <c r="H14">
        <v>39.520000000000003</v>
      </c>
      <c r="I14">
        <v>0.61709999999999998</v>
      </c>
      <c r="L14" s="3" t="s">
        <v>13</v>
      </c>
      <c r="M14" t="s">
        <v>18</v>
      </c>
      <c r="N14" t="s">
        <v>41</v>
      </c>
    </row>
    <row r="15" spans="1:14" x14ac:dyDescent="0.4">
      <c r="A15" s="1"/>
      <c r="B15" s="1"/>
      <c r="C15" s="1"/>
      <c r="G15">
        <v>1000</v>
      </c>
      <c r="H15">
        <v>77.31</v>
      </c>
      <c r="I15">
        <v>0.61709999999999998</v>
      </c>
    </row>
    <row r="16" spans="1:14" x14ac:dyDescent="0.4">
      <c r="G16">
        <v>1500</v>
      </c>
      <c r="H16">
        <v>115.53</v>
      </c>
      <c r="I16">
        <v>0.61719999999999997</v>
      </c>
    </row>
    <row r="17" spans="1:9" x14ac:dyDescent="0.4">
      <c r="G17">
        <v>1501</v>
      </c>
      <c r="H17">
        <v>115.57</v>
      </c>
      <c r="I17">
        <v>0.61729999999999996</v>
      </c>
    </row>
    <row r="18" spans="1:9" x14ac:dyDescent="0.4">
      <c r="A18" s="1"/>
      <c r="B18" s="1"/>
      <c r="C18" s="1"/>
      <c r="G18">
        <v>2000</v>
      </c>
      <c r="H18">
        <v>154.32</v>
      </c>
      <c r="I18">
        <v>0.61709999999999998</v>
      </c>
    </row>
    <row r="19" spans="1:9" x14ac:dyDescent="0.4">
      <c r="G19">
        <v>4000</v>
      </c>
      <c r="H19">
        <v>-52.64</v>
      </c>
      <c r="I19">
        <v>0.61699999999999999</v>
      </c>
    </row>
    <row r="20" spans="1:9" x14ac:dyDescent="0.4">
      <c r="G20">
        <v>6000</v>
      </c>
      <c r="H20">
        <v>100.93</v>
      </c>
      <c r="I20">
        <v>0.61699999999999999</v>
      </c>
    </row>
    <row r="21" spans="1:9" x14ac:dyDescent="0.4">
      <c r="A21" s="1"/>
      <c r="B21" s="1"/>
      <c r="C21" s="1"/>
      <c r="G21">
        <v>8000</v>
      </c>
      <c r="H21">
        <v>166.08</v>
      </c>
      <c r="I21">
        <v>0.61699999999999999</v>
      </c>
    </row>
    <row r="22" spans="1:9" x14ac:dyDescent="0.4">
      <c r="A22" s="1"/>
      <c r="B22" s="1"/>
      <c r="C22" s="1"/>
      <c r="G22">
        <v>8001</v>
      </c>
      <c r="H22">
        <v>165.66</v>
      </c>
      <c r="I22">
        <v>0.61699999999999999</v>
      </c>
    </row>
    <row r="23" spans="1:9" x14ac:dyDescent="0.4">
      <c r="G23">
        <v>10000</v>
      </c>
      <c r="H23">
        <v>48.05</v>
      </c>
      <c r="I23">
        <v>0.61729999999999996</v>
      </c>
    </row>
    <row r="24" spans="1:9" x14ac:dyDescent="0.4">
      <c r="G24">
        <v>20000</v>
      </c>
      <c r="H24" s="4" t="s">
        <v>31</v>
      </c>
      <c r="I24">
        <v>0.61850000000000005</v>
      </c>
    </row>
    <row r="25" spans="1:9" x14ac:dyDescent="0.4">
      <c r="G25">
        <v>30000</v>
      </c>
      <c r="H25">
        <v>143.56</v>
      </c>
      <c r="I25">
        <v>0.61860000000000004</v>
      </c>
    </row>
    <row r="26" spans="1:9" x14ac:dyDescent="0.4">
      <c r="G26">
        <v>30001</v>
      </c>
      <c r="H26">
        <v>143.79</v>
      </c>
      <c r="I26">
        <v>0.61860000000000004</v>
      </c>
    </row>
    <row r="27" spans="1:9" x14ac:dyDescent="0.4">
      <c r="G27">
        <v>40000</v>
      </c>
      <c r="H27">
        <v>118.56</v>
      </c>
      <c r="I27">
        <v>0.6139</v>
      </c>
    </row>
    <row r="28" spans="1:9" x14ac:dyDescent="0.4">
      <c r="G28">
        <v>50000</v>
      </c>
      <c r="H28">
        <v>-120.41</v>
      </c>
      <c r="I28">
        <v>0.61629999999999996</v>
      </c>
    </row>
    <row r="29" spans="1:9" x14ac:dyDescent="0.4">
      <c r="G29">
        <v>55000</v>
      </c>
      <c r="H29">
        <v>-97.48</v>
      </c>
      <c r="I29">
        <v>0.6179</v>
      </c>
    </row>
    <row r="30" spans="1:9" x14ac:dyDescent="0.4">
      <c r="G30">
        <v>55001</v>
      </c>
      <c r="H30">
        <v>-97.23</v>
      </c>
      <c r="I30">
        <v>0.6179</v>
      </c>
    </row>
    <row r="31" spans="1:9" x14ac:dyDescent="0.4">
      <c r="G31">
        <v>60000</v>
      </c>
      <c r="H31">
        <v>-73.87</v>
      </c>
      <c r="I31">
        <v>0.61760000000000004</v>
      </c>
    </row>
    <row r="32" spans="1:9" x14ac:dyDescent="0.4">
      <c r="G32">
        <v>70000</v>
      </c>
      <c r="H32">
        <v>-26.36</v>
      </c>
      <c r="I32">
        <v>0.61829999999999996</v>
      </c>
    </row>
    <row r="33" spans="7:9" x14ac:dyDescent="0.4">
      <c r="G33">
        <v>70001</v>
      </c>
      <c r="H33">
        <v>-26.23</v>
      </c>
      <c r="I33">
        <v>0.61839999999999995</v>
      </c>
    </row>
    <row r="34" spans="7:9" x14ac:dyDescent="0.4">
      <c r="G34">
        <v>75000</v>
      </c>
      <c r="H34">
        <v>-1.97</v>
      </c>
      <c r="I34">
        <v>0.61929999999999996</v>
      </c>
    </row>
    <row r="35" spans="7:9" x14ac:dyDescent="0.4">
      <c r="G35">
        <v>80000</v>
      </c>
      <c r="H35">
        <v>21.88</v>
      </c>
      <c r="I35">
        <v>0.61709999999999998</v>
      </c>
    </row>
    <row r="36" spans="7:9" x14ac:dyDescent="0.4">
      <c r="G36">
        <v>84000</v>
      </c>
      <c r="H36">
        <v>-32.119999999999997</v>
      </c>
      <c r="I36">
        <v>0.61990000000000001</v>
      </c>
    </row>
    <row r="37" spans="7:9" x14ac:dyDescent="0.4">
      <c r="G37">
        <v>87000</v>
      </c>
      <c r="H37">
        <v>67.98</v>
      </c>
      <c r="I37">
        <v>0.62039999999999995</v>
      </c>
    </row>
    <row r="38" spans="7:9" x14ac:dyDescent="0.4">
      <c r="G38">
        <v>87001</v>
      </c>
      <c r="H38">
        <v>67.59</v>
      </c>
      <c r="I38">
        <v>0.62050000000000005</v>
      </c>
    </row>
    <row r="39" spans="7:9" x14ac:dyDescent="0.4">
      <c r="G39">
        <v>90000</v>
      </c>
      <c r="H39">
        <v>67.41</v>
      </c>
      <c r="I39">
        <v>0.621</v>
      </c>
    </row>
    <row r="40" spans="7:9" x14ac:dyDescent="0.4">
      <c r="G40">
        <v>94000</v>
      </c>
      <c r="H40">
        <v>13.68</v>
      </c>
      <c r="I40">
        <v>0.62190000000000001</v>
      </c>
    </row>
    <row r="41" spans="7:9" x14ac:dyDescent="0.4">
      <c r="G41">
        <v>97000</v>
      </c>
      <c r="H41">
        <v>128.86000000000001</v>
      </c>
      <c r="I41">
        <v>0.62270000000000003</v>
      </c>
    </row>
    <row r="42" spans="7:9" x14ac:dyDescent="0.4">
      <c r="G42">
        <v>97001</v>
      </c>
      <c r="H42">
        <v>129.01</v>
      </c>
      <c r="I42">
        <v>0.62260000000000004</v>
      </c>
    </row>
    <row r="43" spans="7:9" x14ac:dyDescent="0.4">
      <c r="G43">
        <v>100000</v>
      </c>
      <c r="H43">
        <v>116.02</v>
      </c>
      <c r="I43">
        <v>0.62509999999999999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13311B4AF4424FBCB1BACAB138C90C" ma:contentTypeVersion="9" ma:contentTypeDescription="Create a new document." ma:contentTypeScope="" ma:versionID="12b16e9e634efae10713b23626af4e1a">
  <xsd:schema xmlns:xsd="http://www.w3.org/2001/XMLSchema" xmlns:xs="http://www.w3.org/2001/XMLSchema" xmlns:p="http://schemas.microsoft.com/office/2006/metadata/properties" xmlns:ns3="b0c48430-4b5b-4d14-b1b6-e0aa43896cc5" targetNamespace="http://schemas.microsoft.com/office/2006/metadata/properties" ma:root="true" ma:fieldsID="ad816bf1544bf1867e7c843fc0c2bb45" ns3:_="">
    <xsd:import namespace="b0c48430-4b5b-4d14-b1b6-e0aa43896c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c48430-4b5b-4d14-b1b6-e0aa43896c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c48430-4b5b-4d14-b1b6-e0aa43896cc5" xsi:nil="true"/>
  </documentManagement>
</p:properties>
</file>

<file path=customXml/itemProps1.xml><?xml version="1.0" encoding="utf-8"?>
<ds:datastoreItem xmlns:ds="http://schemas.openxmlformats.org/officeDocument/2006/customXml" ds:itemID="{88E291B4-CB11-496C-BC67-5A25D2F79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c48430-4b5b-4d14-b1b6-e0aa43896c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D8CDA6-7F0D-490D-847F-12B17BD6EB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0E0353-AFD8-418B-9FA5-7E5C33D9A363}">
  <ds:schemaRefs>
    <ds:schemaRef ds:uri="http://schemas.microsoft.com/office/2006/metadata/properties"/>
    <ds:schemaRef ds:uri="http://schemas.microsoft.com/office/infopath/2007/PartnerControls"/>
    <ds:schemaRef ds:uri="b0c48430-4b5b-4d14-b1b6-e0aa43896c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AD8429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Chengyu</dc:creator>
  <cp:keywords/>
  <dc:description/>
  <cp:lastModifiedBy>Liu, Arno</cp:lastModifiedBy>
  <cp:revision/>
  <dcterms:created xsi:type="dcterms:W3CDTF">2025-11-14T20:51:55Z</dcterms:created>
  <dcterms:modified xsi:type="dcterms:W3CDTF">2025-12-15T15:03:24Z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0x010100FB13311B4AF4424FBCB1BACAB138C90C</vt:lpwstr>
  </property>
</Properties>
</file>